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ecate\Insurance_US\Product Development\Product Management\Global PPM\Reporting\_Tools\GitHub\Production Repositories\Pipeline Runner\"/>
    </mc:Choice>
  </mc:AlternateContent>
  <bookViews>
    <workbookView xWindow="0" yWindow="0" windowWidth="20490" windowHeight="7695" tabRatio="794" activeTab="1"/>
  </bookViews>
  <sheets>
    <sheet name="Notes" sheetId="1" r:id="rId1"/>
    <sheet name="Pipeline Runner" sheetId="2" r:id="rId2"/>
    <sheet name="Dashboard List" sheetId="6" r:id="rId3"/>
    <sheet name="Process Step Listing" sheetId="7" r:id="rId4"/>
    <sheet name="Data Flow Diagram -needs update" sheetId="4" r:id="rId5"/>
    <sheet name="Selection Lists" sheetId="3" r:id="rId6"/>
    <sheet name="Paths" sheetId="5" r:id="rId7"/>
  </sheets>
  <definedNames>
    <definedName name="db_cell">'Pipeline Runner'!$F$13</definedName>
    <definedName name="dc_cell">'Pipeline Runner'!$F$11</definedName>
    <definedName name="dc_path">'Pipeline Runner'!$F$11</definedName>
    <definedName name="path_cell">'Pipeline Runner'!$F$9</definedName>
    <definedName name="pl_cell">'Pipeline Runner'!$F$7</definedName>
    <definedName name="ppath">'Pipeline Runner'!$F$9</definedName>
    <definedName name="RhomeDir">'Selection Lists'!$Y$4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7" i="5" l="1" a="1"/>
  <c r="N7" i="5" s="1"/>
  <c r="N9" i="2" s="1"/>
  <c r="N6" i="5" a="1"/>
  <c r="N6" i="5" s="1"/>
  <c r="N8" i="2" s="1"/>
  <c r="N5" i="5" a="1"/>
  <c r="N5" i="5" s="1"/>
  <c r="Y5" i="3" l="1"/>
  <c r="Y4" i="3"/>
  <c r="N6" i="2"/>
  <c r="N14" i="2"/>
  <c r="N13" i="2"/>
  <c r="N12" i="2"/>
  <c r="N11" i="2"/>
  <c r="N10" i="2"/>
  <c r="N7" i="2"/>
</calcChain>
</file>

<file path=xl/comments1.xml><?xml version="1.0" encoding="utf-8"?>
<comments xmlns="http://schemas.openxmlformats.org/spreadsheetml/2006/main">
  <authors>
    <author>Dana Mark</author>
  </authors>
  <commentList>
    <comment ref="A1" authorId="0" shapeId="0">
      <text>
        <r>
          <rPr>
            <b/>
            <sz val="9"/>
            <color indexed="81"/>
            <rFont val="Tahoma"/>
            <family val="2"/>
          </rPr>
          <t>Dana Mark:</t>
        </r>
        <r>
          <rPr>
            <sz val="9"/>
            <color indexed="81"/>
            <rFont val="Tahoma"/>
            <family val="2"/>
          </rPr>
          <t xml:space="preserve">
started with BU codes from the GPM template (started by Federico) and added countries found on AzP Connect page
For these additional countries, I used the codes in the Tables tab to fill in the BUCode</t>
        </r>
      </text>
    </comment>
    <comment ref="A21" authorId="0" shapeId="0">
      <text>
        <r>
          <rPr>
            <b/>
            <sz val="9"/>
            <color indexed="81"/>
            <rFont val="Tahoma"/>
            <family val="2"/>
          </rPr>
          <t>Dana Mark:</t>
        </r>
        <r>
          <rPr>
            <sz val="9"/>
            <color indexed="81"/>
            <rFont val="Tahoma"/>
            <family val="2"/>
          </rPr>
          <t xml:space="preserve">
no code, abbrev. as saw on AzP Connect
</t>
        </r>
      </text>
    </comment>
  </commentList>
</comments>
</file>

<file path=xl/sharedStrings.xml><?xml version="1.0" encoding="utf-8"?>
<sst xmlns="http://schemas.openxmlformats.org/spreadsheetml/2006/main" count="290" uniqueCount="194">
  <si>
    <t>Pipeline Runner</t>
  </si>
  <si>
    <t>Execution Options</t>
  </si>
  <si>
    <t>2019.Q4</t>
  </si>
  <si>
    <t>2020.Q1</t>
  </si>
  <si>
    <t>2020.Q3</t>
  </si>
  <si>
    <t>2020.Q4</t>
  </si>
  <si>
    <t>Select Data Collection</t>
  </si>
  <si>
    <t>Dashboard Knitting</t>
  </si>
  <si>
    <t>Knit all Available</t>
  </si>
  <si>
    <t>Knit Selections</t>
  </si>
  <si>
    <t>Skip Dashboard Knitting</t>
  </si>
  <si>
    <t>Pipeline Path</t>
  </si>
  <si>
    <t>Network</t>
  </si>
  <si>
    <t>r.exe</t>
  </si>
  <si>
    <t>runner script</t>
  </si>
  <si>
    <t>python repo</t>
  </si>
  <si>
    <t>path_name</t>
  </si>
  <si>
    <t>location</t>
  </si>
  <si>
    <t>path</t>
  </si>
  <si>
    <t>Local_GTH</t>
  </si>
  <si>
    <t>C:\Program Files\R\R-3.6.3\bin\R.exe</t>
  </si>
  <si>
    <t>Knit</t>
  </si>
  <si>
    <t>Skip</t>
  </si>
  <si>
    <t>BU_CODE</t>
  </si>
  <si>
    <t>BU_DESCR</t>
  </si>
  <si>
    <t>AU</t>
  </si>
  <si>
    <t>Australia</t>
  </si>
  <si>
    <t>NZ</t>
  </si>
  <si>
    <t>New Zealand</t>
  </si>
  <si>
    <t>CN</t>
  </si>
  <si>
    <t>China</t>
  </si>
  <si>
    <t>IN</t>
  </si>
  <si>
    <t>India</t>
  </si>
  <si>
    <t>TH</t>
  </si>
  <si>
    <t>Thailand</t>
  </si>
  <si>
    <t>SG</t>
  </si>
  <si>
    <t>Singapore</t>
  </si>
  <si>
    <t>JP</t>
  </si>
  <si>
    <t>Japan</t>
  </si>
  <si>
    <t>ID</t>
  </si>
  <si>
    <t>Indonesia</t>
  </si>
  <si>
    <t>MY</t>
  </si>
  <si>
    <t>Malaysia</t>
  </si>
  <si>
    <t>US</t>
  </si>
  <si>
    <t>United States</t>
  </si>
  <si>
    <t>CA</t>
  </si>
  <si>
    <t>Canada</t>
  </si>
  <si>
    <t>DE</t>
  </si>
  <si>
    <t>Germany</t>
  </si>
  <si>
    <t>CH</t>
  </si>
  <si>
    <t>Switzerland</t>
  </si>
  <si>
    <t>PL</t>
  </si>
  <si>
    <t>Poland</t>
  </si>
  <si>
    <t>AT</t>
  </si>
  <si>
    <t>Austria</t>
  </si>
  <si>
    <t>CZ</t>
  </si>
  <si>
    <t>Czech Republic</t>
  </si>
  <si>
    <t>RU</t>
  </si>
  <si>
    <t>Russia</t>
  </si>
  <si>
    <t>GR</t>
  </si>
  <si>
    <t>Greece</t>
  </si>
  <si>
    <t>TU</t>
  </si>
  <si>
    <t>Turkey</t>
  </si>
  <si>
    <t>FR</t>
  </si>
  <si>
    <t>France</t>
  </si>
  <si>
    <t>UK</t>
  </si>
  <si>
    <t>United Kingdom</t>
  </si>
  <si>
    <t>IT</t>
  </si>
  <si>
    <t>Italy</t>
  </si>
  <si>
    <t>NL</t>
  </si>
  <si>
    <t>Netherlands</t>
  </si>
  <si>
    <t>BE</t>
  </si>
  <si>
    <t>Belgium</t>
  </si>
  <si>
    <t>BR</t>
  </si>
  <si>
    <t>Brazil</t>
  </si>
  <si>
    <t>MEA</t>
  </si>
  <si>
    <t>Middle East</t>
  </si>
  <si>
    <t>ES</t>
  </si>
  <si>
    <t>Spain</t>
  </si>
  <si>
    <t>MX</t>
  </si>
  <si>
    <t>Mexico</t>
  </si>
  <si>
    <t>IE</t>
  </si>
  <si>
    <t>Ireland</t>
  </si>
  <si>
    <t>PT</t>
  </si>
  <si>
    <t>Portugal</t>
  </si>
  <si>
    <t>AR</t>
  </si>
  <si>
    <t>Argentina</t>
  </si>
  <si>
    <t>FOS</t>
  </si>
  <si>
    <t>FoS</t>
  </si>
  <si>
    <t>SC</t>
  </si>
  <si>
    <t>Scandinavia</t>
  </si>
  <si>
    <t>run_control</t>
  </si>
  <si>
    <t>Individual Dashboard Options</t>
  </si>
  <si>
    <t>Process Locations</t>
  </si>
  <si>
    <t>Location Description</t>
  </si>
  <si>
    <t>Link</t>
  </si>
  <si>
    <t>Data Folder</t>
  </si>
  <si>
    <t>Attribute List</t>
  </si>
  <si>
    <t>Python Repository</t>
  </si>
  <si>
    <t>Raw Data File</t>
  </si>
  <si>
    <t>Python Transformations Data File</t>
  </si>
  <si>
    <t>Summary Files</t>
  </si>
  <si>
    <t>Dashboards</t>
  </si>
  <si>
    <t>temp ranges</t>
  </si>
  <si>
    <t>Purpose:</t>
  </si>
  <si>
    <t>This file is a user interface to run the GPM Data collection pipeline.</t>
  </si>
  <si>
    <t>Inputs:</t>
  </si>
  <si>
    <t>Primary inputs are the data files that begin with "us_dat" in the following folders:</t>
  </si>
  <si>
    <t>\\hecate\Insurance_US\Product Development\Product Management\Global PPM\Reporting\Data Collection\Production\2020.Q3\live_sources</t>
  </si>
  <si>
    <t>\\hecate\Insurance_US\Product Development\Product Management\Global PPM\Reporting\Data Collection\Production\2020.Q4\live_sources</t>
  </si>
  <si>
    <t>live</t>
  </si>
  <si>
    <t>coming soon</t>
  </si>
  <si>
    <t>And also the xls? Files in these folders:</t>
  </si>
  <si>
    <t>\\hecate\Insurance_US\Product Development\Product Management\Global PPM\Reporting\Data Collection\Production\2020.Q1</t>
  </si>
  <si>
    <t>Outputs:</t>
  </si>
  <si>
    <t>User instructions:</t>
  </si>
  <si>
    <t>Step 1:</t>
  </si>
  <si>
    <t>Step 2:</t>
  </si>
  <si>
    <t>For .json processes, these are the files starting with "us_dat", it is ok to have multiple files per BU as long as prefixes are not repeated.</t>
  </si>
  <si>
    <t>Step 3:</t>
  </si>
  <si>
    <t>Place new data files in the production data source folder found in cell 'Pipeline Runner'!N6. Ensure there is one data file in the folder per business unit.</t>
  </si>
  <si>
    <t>Enter selections in green cells on tabs "Pipeline Runner" and "Dashboard List", do not press "run pipeline".</t>
  </si>
  <si>
    <t>Run Pipeline</t>
  </si>
  <si>
    <t>Step 4:</t>
  </si>
  <si>
    <t>Follow progress in links provided in table beginning at column J on sheet "Pipeline Runner".</t>
  </si>
  <si>
    <t>This process creates all data files, summary workbooks, and selected local dashboards for a data collection. The links to the output change by selection and are available on the table beginning at column J on sheet "Pipeline Runner".</t>
  </si>
  <si>
    <t>Pipeline Path:</t>
  </si>
  <si>
    <t>Control the source of the working memory. You can run this from the network, but it will always be much faster to use local script repositories. This document helps keep ensure that everyone has the correct pipeline code regardless of environment.</t>
  </si>
  <si>
    <t>The reporting period that is to be run.</t>
  </si>
  <si>
    <t>Select Data Collection:</t>
  </si>
  <si>
    <t>Dashboard Knitting:</t>
  </si>
  <si>
    <t>Instance Note:</t>
  </si>
  <si>
    <t>If selected the pipeline will run without creating dashboards (in development)</t>
  </si>
  <si>
    <t>If selected the pipeline will run and create the dashboards where "knit" is selected on the table found on "Dashboard List".</t>
  </si>
  <si>
    <t>If selected the pipeline will run and create a new dashboard for every BU in the data file.</t>
  </si>
  <si>
    <t>Please leave a note with a reason for running the pipeline.</t>
  </si>
  <si>
    <t>Previous File with Euro Conversion</t>
  </si>
  <si>
    <t>20XX.QX</t>
  </si>
  <si>
    <t>selections</t>
  </si>
  <si>
    <t>Primary Process</t>
  </si>
  <si>
    <t>Click button</t>
  </si>
  <si>
    <t>Workbook is saved</t>
  </si>
  <si>
    <t>start run .bat file</t>
  </si>
  <si>
    <t>Pipeline_Runner.r</t>
  </si>
  <si>
    <t>read user selections from this document</t>
  </si>
  <si>
    <t>Sub Process 1</t>
  </si>
  <si>
    <t>Sub Process 2</t>
  </si>
  <si>
    <t>run.bat</t>
  </si>
  <si>
    <t>GPM_DataCollectionScript.py</t>
  </si>
  <si>
    <t>transformations.py</t>
  </si>
  <si>
    <t>summaries.py</t>
  </si>
  <si>
    <t>start 'GPMprep.py'</t>
  </si>
  <si>
    <t>determine dashboards to knit</t>
  </si>
  <si>
    <t>knit dashboards</t>
  </si>
  <si>
    <t>result</t>
  </si>
  <si>
    <t>background</t>
  </si>
  <si>
    <t>Chronology</t>
  </si>
  <si>
    <t>20XX.QX.csv</t>
  </si>
  <si>
    <t>Data Collection\Summaries</t>
  </si>
  <si>
    <t>local dashboards</t>
  </si>
  <si>
    <t>dbfix.py</t>
  </si>
  <si>
    <t>GPMprep.py</t>
  </si>
  <si>
    <t>end GPMprep.py</t>
  </si>
  <si>
    <t>local dashboards - with edits</t>
  </si>
  <si>
    <t>end Pipeline_Runner.r</t>
  </si>
  <si>
    <t>end run.bat</t>
  </si>
  <si>
    <t>pipeline_log.csv</t>
  </si>
  <si>
    <t>20XX.QX.localcur.csv</t>
  </si>
  <si>
    <t>20XX.QX.euroconv.csv</t>
  </si>
  <si>
    <t>start run.bat</t>
  </si>
  <si>
    <t>Selection Options:</t>
  </si>
  <si>
    <t>Dashboard List:</t>
  </si>
  <si>
    <t>Other Tabs</t>
  </si>
  <si>
    <t>Select which dashboards to knit if "Knit Selections" is selected on the 'Pipeline Runner' page.</t>
  </si>
  <si>
    <t>Process Step Listing:</t>
  </si>
  <si>
    <t>Process description in table format</t>
  </si>
  <si>
    <t>Data Flow Diagram:</t>
  </si>
  <si>
    <t>Process DFD, Needs update!!</t>
  </si>
  <si>
    <t>Selection lists:</t>
  </si>
  <si>
    <t>Validation lists for "Pipeline Runner"</t>
  </si>
  <si>
    <t>Paths:</t>
  </si>
  <si>
    <t>Paths listed to point pipeline in to user's setup.</t>
  </si>
  <si>
    <t>Pipeline R Script Path</t>
  </si>
  <si>
    <t>C:/Users/gharmo/Desktop/R_Local_Mirror/GPMdashboard_sites</t>
  </si>
  <si>
    <t>C:/Users/gharmo/PycharmProjects/GPMpyPipeline</t>
  </si>
  <si>
    <t>H:/Reporting/_Tools/GitHub/Production Repositories/Pipeline Runner/GPMpyPipeline</t>
  </si>
  <si>
    <t>Sub Process 3</t>
  </si>
  <si>
    <t>NB</t>
  </si>
  <si>
    <t>Nordics and Baltics</t>
  </si>
  <si>
    <t>Pipeline Control</t>
  </si>
  <si>
    <t>Dashboards Only</t>
  </si>
  <si>
    <t>Overwrite Data Files</t>
  </si>
  <si>
    <t>Commit Message</t>
  </si>
  <si>
    <t>German Update, allocation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</si>
</sst>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8"/>
      <color theme="1"/>
      <name val="Calibri"/>
      <family val="2"/>
      <scheme val="minor"/>
    </font>
    <font>
      <b/>
      <sz val="28"/>
      <color theme="0"/>
      <name val="Calibri"/>
      <family val="2"/>
      <scheme val="minor"/>
    </font>
    <font>
      <b/>
      <sz val="9"/>
      <color indexed="81"/>
      <name val="Tahoma"/>
      <family val="2"/>
    </font>
    <font>
      <sz val="9"/>
      <color indexed="81"/>
      <name val="Tahoma"/>
      <family val="2"/>
    </font>
    <font>
      <u/>
      <sz val="11"/>
      <color theme="10"/>
      <name val="Calibri"/>
      <family val="2"/>
      <scheme val="minor"/>
    </font>
    <font>
      <b/>
      <sz val="8"/>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6" tint="0.39997558519241921"/>
        <bgColor indexed="64"/>
      </patternFill>
    </fill>
    <fill>
      <patternFill patternType="solid">
        <fgColor theme="3"/>
        <bgColor indexed="64"/>
      </patternFill>
    </fill>
    <fill>
      <patternFill patternType="solid">
        <fgColor theme="9" tint="0.79998168889431442"/>
        <bgColor indexed="64"/>
      </patternFill>
    </fill>
    <fill>
      <patternFill patternType="solid">
        <fgColor theme="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s>
  <cellStyleXfs count="2">
    <xf numFmtId="0" fontId="0" fillId="0" borderId="0"/>
    <xf numFmtId="0" fontId="8" fillId="0" borderId="0" applyNumberFormat="0" applyFill="0" applyBorder="0" applyAlignment="0" applyProtection="0"/>
  </cellStyleXfs>
  <cellXfs count="57">
    <xf numFmtId="0" fontId="0" fillId="0" borderId="0" xfId="0"/>
    <xf numFmtId="0" fontId="2" fillId="0" borderId="0" xfId="0" applyFont="1"/>
    <xf numFmtId="0" fontId="3" fillId="4" borderId="0" xfId="0" applyFont="1" applyFill="1"/>
    <xf numFmtId="0" fontId="1" fillId="4" borderId="0" xfId="0" applyFont="1" applyFill="1"/>
    <xf numFmtId="0" fontId="0" fillId="0" borderId="14" xfId="0" applyBorder="1"/>
    <xf numFmtId="0" fontId="0" fillId="0" borderId="15" xfId="0" applyBorder="1"/>
    <xf numFmtId="0" fontId="0" fillId="0" borderId="16" xfId="0" applyBorder="1"/>
    <xf numFmtId="0" fontId="1" fillId="4" borderId="2" xfId="0" applyFont="1" applyFill="1" applyBorder="1"/>
    <xf numFmtId="0" fontId="0" fillId="0" borderId="0" xfId="0" applyAlignment="1">
      <alignment horizontal="left"/>
    </xf>
    <xf numFmtId="0" fontId="0" fillId="2" borderId="1" xfId="0" applyFont="1" applyFill="1" applyBorder="1"/>
    <xf numFmtId="0" fontId="0" fillId="5" borderId="1" xfId="0" applyFont="1" applyFill="1" applyBorder="1"/>
    <xf numFmtId="0" fontId="8" fillId="0" borderId="0" xfId="1"/>
    <xf numFmtId="0" fontId="0" fillId="0" borderId="0" xfId="0" applyAlignment="1">
      <alignment horizontal="left" vertical="center"/>
    </xf>
    <xf numFmtId="0" fontId="0" fillId="0" borderId="0" xfId="0" quotePrefix="1"/>
    <xf numFmtId="0" fontId="1" fillId="4" borderId="29" xfId="0" applyFont="1" applyFill="1" applyBorder="1"/>
    <xf numFmtId="2" fontId="0" fillId="0" borderId="0" xfId="0" applyNumberFormat="1" applyAlignment="1">
      <alignment horizontal="center" vertical="center" wrapText="1"/>
    </xf>
    <xf numFmtId="0" fontId="3" fillId="4" borderId="0" xfId="0" applyFont="1" applyFill="1" applyAlignment="1">
      <alignment horizontal="center"/>
    </xf>
    <xf numFmtId="0" fontId="2" fillId="2" borderId="6" xfId="0" applyFont="1" applyFill="1" applyBorder="1" applyAlignment="1">
      <alignment horizontal="center"/>
    </xf>
    <xf numFmtId="0" fontId="2" fillId="2" borderId="13" xfId="0" applyFont="1" applyFill="1" applyBorder="1" applyAlignment="1">
      <alignment horizontal="center"/>
    </xf>
    <xf numFmtId="0" fontId="2" fillId="2" borderId="7" xfId="0" applyFont="1" applyFill="1" applyBorder="1" applyAlignment="1">
      <alignment horizontal="center"/>
    </xf>
    <xf numFmtId="0" fontId="10" fillId="5" borderId="6" xfId="0" applyFont="1" applyFill="1" applyBorder="1" applyAlignment="1">
      <alignment horizontal="center"/>
    </xf>
    <xf numFmtId="0" fontId="10" fillId="5" borderId="13" xfId="0" applyFont="1" applyFill="1" applyBorder="1" applyAlignment="1">
      <alignment horizontal="center"/>
    </xf>
    <xf numFmtId="0" fontId="10" fillId="5" borderId="7" xfId="0" applyFont="1" applyFill="1" applyBorder="1" applyAlignment="1">
      <alignment horizontal="center"/>
    </xf>
    <xf numFmtId="0" fontId="9" fillId="5" borderId="6" xfId="0" applyFont="1" applyFill="1" applyBorder="1" applyAlignment="1">
      <alignment horizontal="center"/>
    </xf>
    <xf numFmtId="0" fontId="9" fillId="5" borderId="13" xfId="0" applyFont="1" applyFill="1" applyBorder="1" applyAlignment="1">
      <alignment horizontal="center"/>
    </xf>
    <xf numFmtId="0" fontId="9" fillId="5" borderId="7" xfId="0" applyFont="1" applyFill="1" applyBorder="1" applyAlignment="1">
      <alignment horizontal="center"/>
    </xf>
    <xf numFmtId="0" fontId="2" fillId="5" borderId="6" xfId="0" applyFont="1" applyFill="1" applyBorder="1" applyAlignment="1">
      <alignment horizontal="center"/>
    </xf>
    <xf numFmtId="0" fontId="2" fillId="5" borderId="13" xfId="0" applyFont="1" applyFill="1" applyBorder="1" applyAlignment="1">
      <alignment horizontal="center"/>
    </xf>
    <xf numFmtId="0" fontId="2" fillId="5" borderId="7" xfId="0" applyFont="1" applyFill="1" applyBorder="1" applyAlignment="1">
      <alignment horizontal="center"/>
    </xf>
    <xf numFmtId="0" fontId="0" fillId="0" borderId="3" xfId="0" applyBorder="1" applyAlignment="1">
      <alignment horizontal="left"/>
    </xf>
    <xf numFmtId="0" fontId="0" fillId="0" borderId="17"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26" xfId="0" applyBorder="1" applyAlignment="1">
      <alignment horizontal="left"/>
    </xf>
    <xf numFmtId="0" fontId="5" fillId="4" borderId="4" xfId="0" applyFont="1" applyFill="1" applyBorder="1" applyAlignment="1">
      <alignment horizontal="center"/>
    </xf>
    <xf numFmtId="0" fontId="5" fillId="4" borderId="0" xfId="0" applyFont="1" applyFill="1" applyBorder="1"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0" fillId="0" borderId="27" xfId="0" applyBorder="1" applyAlignment="1">
      <alignment horizontal="left"/>
    </xf>
    <xf numFmtId="0" fontId="0" fillId="0" borderId="5" xfId="0" applyBorder="1" applyAlignment="1">
      <alignment horizontal="left"/>
    </xf>
    <xf numFmtId="0" fontId="0" fillId="0" borderId="28" xfId="0" applyBorder="1" applyAlignment="1">
      <alignment horizontal="left"/>
    </xf>
    <xf numFmtId="0" fontId="0" fillId="6" borderId="3" xfId="0" applyFill="1" applyBorder="1" applyAlignment="1">
      <alignment horizontal="left"/>
    </xf>
    <xf numFmtId="0" fontId="0" fillId="6" borderId="17" xfId="0" applyFill="1" applyBorder="1" applyAlignment="1">
      <alignment horizontal="left"/>
    </xf>
    <xf numFmtId="0" fontId="0" fillId="6" borderId="23" xfId="0" applyFill="1" applyBorder="1" applyAlignment="1">
      <alignment horizontal="left"/>
    </xf>
    <xf numFmtId="0" fontId="0" fillId="0" borderId="18" xfId="0" applyBorder="1" applyAlignment="1">
      <alignment horizontal="center"/>
    </xf>
    <xf numFmtId="0" fontId="0" fillId="0" borderId="1"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0" fillId="0" borderId="21" xfId="0" applyBorder="1" applyAlignment="1">
      <alignment horizontal="center"/>
    </xf>
    <xf numFmtId="0" fontId="5" fillId="4" borderId="8" xfId="0" applyFont="1" applyFill="1" applyBorder="1" applyAlignment="1">
      <alignment horizontal="center"/>
    </xf>
    <xf numFmtId="0" fontId="5" fillId="4" borderId="9" xfId="0" applyFont="1" applyFill="1" applyBorder="1" applyAlignment="1">
      <alignment horizontal="center"/>
    </xf>
    <xf numFmtId="0" fontId="4" fillId="3" borderId="6" xfId="0" applyFont="1" applyFill="1" applyBorder="1" applyAlignment="1">
      <alignment horizontal="center"/>
    </xf>
    <xf numFmtId="0" fontId="4" fillId="3" borderId="13" xfId="0" applyFont="1" applyFill="1" applyBorder="1" applyAlignment="1">
      <alignment horizontal="center"/>
    </xf>
    <xf numFmtId="0" fontId="4" fillId="3" borderId="7" xfId="0" applyFont="1" applyFill="1" applyBorder="1" applyAlignment="1">
      <alignment horizontal="center"/>
    </xf>
  </cellXfs>
  <cellStyles count="2">
    <cellStyle name="Hyperlink" xfId="1" builtinId="8"/>
    <cellStyle name="Normal" xfId="0" builtinId="0"/>
  </cellStyles>
  <dxfs count="1">
    <dxf>
      <font>
        <color theme="0"/>
      </font>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692091</xdr:colOff>
      <xdr:row>16</xdr:row>
      <xdr:rowOff>38281</xdr:rowOff>
    </xdr:from>
    <xdr:to>
      <xdr:col>5</xdr:col>
      <xdr:colOff>454270</xdr:colOff>
      <xdr:row>19</xdr:row>
      <xdr:rowOff>637</xdr:rowOff>
    </xdr:to>
    <xdr:grpSp>
      <xdr:nvGrpSpPr>
        <xdr:cNvPr id="5" name="Group 4"/>
        <xdr:cNvGrpSpPr/>
      </xdr:nvGrpSpPr>
      <xdr:grpSpPr>
        <a:xfrm>
          <a:off x="1826808" y="3193955"/>
          <a:ext cx="1973636" cy="533856"/>
          <a:chOff x="1761821" y="2653355"/>
          <a:chExt cx="1960256" cy="533856"/>
        </a:xfrm>
      </xdr:grpSpPr>
      <xdr:sp macro="" textlink="">
        <xdr:nvSpPr>
          <xdr:cNvPr id="2" name="Rounded Rectangle 1"/>
          <xdr:cNvSpPr/>
        </xdr:nvSpPr>
        <xdr:spPr>
          <a:xfrm>
            <a:off x="1761821" y="2653355"/>
            <a:ext cx="1960256" cy="533856"/>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RunRPipeline" textlink="">
        <xdr:nvSpPr>
          <xdr:cNvPr id="3" name="TextBox 2"/>
          <xdr:cNvSpPr txBox="1"/>
        </xdr:nvSpPr>
        <xdr:spPr>
          <a:xfrm>
            <a:off x="1961339" y="2708181"/>
            <a:ext cx="1540929" cy="45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a:solidFill>
                  <a:schemeClr val="bg1"/>
                </a:solidFill>
              </a:rPr>
              <a:t>Run Pipeline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310154</xdr:colOff>
      <xdr:row>77</xdr:row>
      <xdr:rowOff>131500</xdr:rowOff>
    </xdr:to>
    <xdr:pic>
      <xdr:nvPicPr>
        <xdr:cNvPr id="5" name="Picture 4"/>
        <xdr:cNvPicPr>
          <a:picLocks noChangeAspect="1"/>
        </xdr:cNvPicPr>
      </xdr:nvPicPr>
      <xdr:blipFill>
        <a:blip xmlns:r="http://schemas.openxmlformats.org/officeDocument/2006/relationships" r:embed="rId1"/>
        <a:stretch>
          <a:fillRect/>
        </a:stretch>
      </xdr:blipFill>
      <xdr:spPr>
        <a:xfrm>
          <a:off x="0" y="0"/>
          <a:ext cx="15438095" cy="148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Data%20Collection/Production/2020.Q4/live_sourc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S41"/>
  <sheetViews>
    <sheetView workbookViewId="0">
      <selection activeCell="E42" sqref="E42"/>
    </sheetView>
  </sheetViews>
  <sheetFormatPr defaultRowHeight="15" x14ac:dyDescent="0.25"/>
  <cols>
    <col min="4" max="4" width="21.140625" customWidth="1"/>
  </cols>
  <sheetData>
    <row r="2" spans="2:6" x14ac:dyDescent="0.25">
      <c r="B2" t="s">
        <v>104</v>
      </c>
      <c r="D2" t="s">
        <v>105</v>
      </c>
    </row>
    <row r="4" spans="2:6" x14ac:dyDescent="0.25">
      <c r="B4" t="s">
        <v>106</v>
      </c>
      <c r="D4" t="s">
        <v>107</v>
      </c>
    </row>
    <row r="5" spans="2:6" x14ac:dyDescent="0.25">
      <c r="D5" t="s">
        <v>110</v>
      </c>
      <c r="E5" t="s">
        <v>108</v>
      </c>
    </row>
    <row r="6" spans="2:6" x14ac:dyDescent="0.25">
      <c r="D6" t="s">
        <v>111</v>
      </c>
      <c r="E6" s="11" t="s">
        <v>109</v>
      </c>
    </row>
    <row r="7" spans="2:6" x14ac:dyDescent="0.25">
      <c r="D7" t="s">
        <v>112</v>
      </c>
    </row>
    <row r="8" spans="2:6" x14ac:dyDescent="0.25">
      <c r="D8" t="s">
        <v>110</v>
      </c>
      <c r="E8" t="s">
        <v>113</v>
      </c>
    </row>
    <row r="9" spans="2:6" x14ac:dyDescent="0.25">
      <c r="D9" t="s">
        <v>110</v>
      </c>
      <c r="E9" t="s">
        <v>113</v>
      </c>
    </row>
    <row r="12" spans="2:6" x14ac:dyDescent="0.25">
      <c r="B12" t="s">
        <v>114</v>
      </c>
      <c r="D12" t="s">
        <v>125</v>
      </c>
    </row>
    <row r="14" spans="2:6" x14ac:dyDescent="0.25">
      <c r="B14" t="s">
        <v>115</v>
      </c>
      <c r="D14" t="s">
        <v>116</v>
      </c>
      <c r="E14" t="s">
        <v>121</v>
      </c>
    </row>
    <row r="15" spans="2:6" x14ac:dyDescent="0.25">
      <c r="D15" t="s">
        <v>117</v>
      </c>
      <c r="E15" t="s">
        <v>120</v>
      </c>
    </row>
    <row r="16" spans="2:6" x14ac:dyDescent="0.25">
      <c r="F16" t="s">
        <v>118</v>
      </c>
    </row>
    <row r="17" spans="2:19" x14ac:dyDescent="0.25">
      <c r="D17" t="s">
        <v>119</v>
      </c>
      <c r="E17" t="s">
        <v>122</v>
      </c>
    </row>
    <row r="18" spans="2:19" x14ac:dyDescent="0.25">
      <c r="D18" t="s">
        <v>123</v>
      </c>
      <c r="E18" t="s">
        <v>124</v>
      </c>
    </row>
    <row r="20" spans="2:19" x14ac:dyDescent="0.25">
      <c r="B20" t="s">
        <v>170</v>
      </c>
    </row>
    <row r="22" spans="2:19" ht="42" customHeight="1" x14ac:dyDescent="0.25">
      <c r="D22" s="12" t="s">
        <v>126</v>
      </c>
      <c r="E22" s="15" t="s">
        <v>127</v>
      </c>
      <c r="F22" s="15"/>
      <c r="G22" s="15"/>
      <c r="H22" s="15"/>
      <c r="I22" s="15"/>
      <c r="J22" s="15"/>
      <c r="K22" s="15"/>
      <c r="L22" s="15"/>
      <c r="M22" s="15"/>
      <c r="N22" s="15"/>
      <c r="O22" s="15"/>
      <c r="P22" s="15"/>
      <c r="Q22" s="15"/>
      <c r="R22" s="15"/>
      <c r="S22" s="15"/>
    </row>
    <row r="23" spans="2:19" x14ac:dyDescent="0.25">
      <c r="D23" s="8"/>
    </row>
    <row r="24" spans="2:19" x14ac:dyDescent="0.25">
      <c r="D24" s="8" t="s">
        <v>129</v>
      </c>
      <c r="E24" t="s">
        <v>128</v>
      </c>
    </row>
    <row r="25" spans="2:19" x14ac:dyDescent="0.25">
      <c r="D25" s="8"/>
    </row>
    <row r="26" spans="2:19" x14ac:dyDescent="0.25">
      <c r="D26" s="8" t="s">
        <v>130</v>
      </c>
      <c r="F26" s="16" t="s">
        <v>10</v>
      </c>
      <c r="G26" s="16"/>
      <c r="H26" s="16"/>
      <c r="I26" t="s">
        <v>132</v>
      </c>
    </row>
    <row r="27" spans="2:19" x14ac:dyDescent="0.25">
      <c r="D27" s="8"/>
      <c r="F27" s="16" t="s">
        <v>9</v>
      </c>
      <c r="G27" s="16"/>
      <c r="H27" s="16"/>
      <c r="I27" t="s">
        <v>133</v>
      </c>
    </row>
    <row r="28" spans="2:19" x14ac:dyDescent="0.25">
      <c r="F28" s="16" t="s">
        <v>8</v>
      </c>
      <c r="G28" s="16"/>
      <c r="H28" s="16"/>
      <c r="I28" t="s">
        <v>134</v>
      </c>
    </row>
    <row r="32" spans="2:19" x14ac:dyDescent="0.25">
      <c r="D32" s="8" t="s">
        <v>131</v>
      </c>
      <c r="E32" t="s">
        <v>135</v>
      </c>
    </row>
    <row r="36" spans="2:5" x14ac:dyDescent="0.25">
      <c r="B36" t="s">
        <v>172</v>
      </c>
    </row>
    <row r="37" spans="2:5" x14ac:dyDescent="0.25">
      <c r="D37" t="s">
        <v>171</v>
      </c>
      <c r="E37" t="s">
        <v>173</v>
      </c>
    </row>
    <row r="38" spans="2:5" x14ac:dyDescent="0.25">
      <c r="D38" t="s">
        <v>174</v>
      </c>
      <c r="E38" t="s">
        <v>175</v>
      </c>
    </row>
    <row r="39" spans="2:5" x14ac:dyDescent="0.25">
      <c r="D39" t="s">
        <v>176</v>
      </c>
      <c r="E39" t="s">
        <v>177</v>
      </c>
    </row>
    <row r="40" spans="2:5" x14ac:dyDescent="0.25">
      <c r="D40" t="s">
        <v>178</v>
      </c>
      <c r="E40" t="s">
        <v>179</v>
      </c>
    </row>
    <row r="41" spans="2:5" x14ac:dyDescent="0.25">
      <c r="D41" t="s">
        <v>180</v>
      </c>
      <c r="E41" t="s">
        <v>181</v>
      </c>
    </row>
  </sheetData>
  <mergeCells count="4">
    <mergeCell ref="E22:S22"/>
    <mergeCell ref="F26:H26"/>
    <mergeCell ref="F27:H27"/>
    <mergeCell ref="F28:H28"/>
  </mergeCells>
  <hyperlinks>
    <hyperlink ref="E6" r:id="rId1"/>
  </hyperlinks>
  <pageMargins left="0.7" right="0.7" top="0.75" bottom="0.75" header="0.3" footer="0.3"/>
  <pageSetup orientation="portrait" horizontalDpi="360" verticalDpi="36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B1:U22"/>
  <sheetViews>
    <sheetView showGridLines="0" tabSelected="1" zoomScale="115" zoomScaleNormal="115" workbookViewId="0">
      <selection activeCell="H21" sqref="H21"/>
    </sheetView>
  </sheetViews>
  <sheetFormatPr defaultRowHeight="15" x14ac:dyDescent="0.25"/>
  <cols>
    <col min="1" max="1" width="6" customWidth="1"/>
    <col min="2" max="5" width="11" customWidth="1"/>
    <col min="10" max="13" width="7.85546875" customWidth="1"/>
  </cols>
  <sheetData>
    <row r="1" spans="2:21" ht="9.75" customHeight="1" thickBot="1" x14ac:dyDescent="0.3"/>
    <row r="2" spans="2:21" ht="15" customHeight="1" x14ac:dyDescent="0.25">
      <c r="B2" s="52" t="s">
        <v>0</v>
      </c>
      <c r="C2" s="52"/>
      <c r="D2" s="52"/>
      <c r="E2" s="52"/>
      <c r="F2" s="52"/>
      <c r="G2" s="52"/>
      <c r="H2" s="52"/>
      <c r="J2" s="35" t="s">
        <v>93</v>
      </c>
      <c r="K2" s="36"/>
      <c r="L2" s="36"/>
      <c r="M2" s="36"/>
      <c r="N2" s="36"/>
      <c r="O2" s="36"/>
      <c r="P2" s="36"/>
      <c r="Q2" s="36"/>
      <c r="R2" s="36"/>
      <c r="S2" s="36"/>
      <c r="T2" s="36"/>
      <c r="U2" s="36"/>
    </row>
    <row r="3" spans="2:21" ht="15.75" customHeight="1" thickBot="1" x14ac:dyDescent="0.3">
      <c r="B3" s="53"/>
      <c r="C3" s="53"/>
      <c r="D3" s="53"/>
      <c r="E3" s="53"/>
      <c r="F3" s="53"/>
      <c r="G3" s="53"/>
      <c r="H3" s="53"/>
      <c r="J3" s="35"/>
      <c r="K3" s="36"/>
      <c r="L3" s="36"/>
      <c r="M3" s="36"/>
      <c r="N3" s="36"/>
      <c r="O3" s="36"/>
      <c r="P3" s="36"/>
      <c r="Q3" s="36"/>
      <c r="R3" s="36"/>
      <c r="S3" s="36"/>
      <c r="T3" s="36"/>
      <c r="U3" s="36"/>
    </row>
    <row r="4" spans="2:21" ht="15.75" thickBot="1" x14ac:dyDescent="0.3"/>
    <row r="5" spans="2:21" ht="20.25" customHeight="1" thickBot="1" x14ac:dyDescent="0.4">
      <c r="B5" s="54" t="s">
        <v>1</v>
      </c>
      <c r="C5" s="55"/>
      <c r="D5" s="55"/>
      <c r="E5" s="55"/>
      <c r="F5" s="55"/>
      <c r="G5" s="55"/>
      <c r="H5" s="56"/>
      <c r="J5" s="37" t="s">
        <v>94</v>
      </c>
      <c r="K5" s="38"/>
      <c r="L5" s="38"/>
      <c r="M5" s="38"/>
      <c r="N5" s="38" t="s">
        <v>95</v>
      </c>
      <c r="O5" s="38"/>
      <c r="P5" s="38"/>
      <c r="Q5" s="38"/>
      <c r="R5" s="38"/>
      <c r="S5" s="38"/>
      <c r="T5" s="38"/>
      <c r="U5" s="39"/>
    </row>
    <row r="6" spans="2:21" ht="15.75" thickBot="1" x14ac:dyDescent="0.3">
      <c r="J6" s="50" t="s">
        <v>96</v>
      </c>
      <c r="K6" s="51"/>
      <c r="L6" s="51"/>
      <c r="M6" s="51"/>
      <c r="N6" s="40" t="str">
        <f>"H:\Reporting\Data Collection\Production\"&amp;dc_cell&amp;"\live sources"</f>
        <v>H:\Reporting\Data Collection\Production\2020.Q4\live sources</v>
      </c>
      <c r="O6" s="41"/>
      <c r="P6" s="41"/>
      <c r="Q6" s="41"/>
      <c r="R6" s="41"/>
      <c r="S6" s="41"/>
      <c r="T6" s="41"/>
      <c r="U6" s="42"/>
    </row>
    <row r="7" spans="2:21" ht="16.5" thickBot="1" x14ac:dyDescent="0.3">
      <c r="B7" s="17" t="s">
        <v>189</v>
      </c>
      <c r="C7" s="18"/>
      <c r="D7" s="18"/>
      <c r="E7" s="19"/>
      <c r="F7" s="20" t="s">
        <v>191</v>
      </c>
      <c r="G7" s="21"/>
      <c r="H7" s="22"/>
      <c r="J7" s="46" t="s">
        <v>97</v>
      </c>
      <c r="K7" s="47"/>
      <c r="L7" s="47"/>
      <c r="M7" s="47"/>
      <c r="N7" s="29" t="str">
        <f>"H:\Reporting\Data Collection\Production\"&amp;dc_cell&amp;"\GPPM_Input_"&amp;dc_cell&amp;".xlsx"</f>
        <v>H:\Reporting\Data Collection\Production\2020.Q4\GPPM_Input_2020.Q4.xlsx</v>
      </c>
      <c r="O7" s="30"/>
      <c r="P7" s="30"/>
      <c r="Q7" s="30"/>
      <c r="R7" s="30"/>
      <c r="S7" s="30"/>
      <c r="T7" s="30"/>
      <c r="U7" s="31"/>
    </row>
    <row r="8" spans="2:21" ht="15.75" thickBot="1" x14ac:dyDescent="0.3">
      <c r="J8" s="46" t="s">
        <v>182</v>
      </c>
      <c r="K8" s="47"/>
      <c r="L8" s="47"/>
      <c r="M8" s="47"/>
      <c r="N8" s="43" t="str">
        <f>Paths!N6</f>
        <v>C:/Users/gharmo/Desktop/R_Local_Mirror/GPMdashboard_sites</v>
      </c>
      <c r="O8" s="44"/>
      <c r="P8" s="44"/>
      <c r="Q8" s="44"/>
      <c r="R8" s="44"/>
      <c r="S8" s="44"/>
      <c r="T8" s="44"/>
      <c r="U8" s="45"/>
    </row>
    <row r="9" spans="2:21" ht="15.75" thickBot="1" x14ac:dyDescent="0.3">
      <c r="B9" s="17" t="s">
        <v>11</v>
      </c>
      <c r="C9" s="18"/>
      <c r="D9" s="18"/>
      <c r="E9" s="19"/>
      <c r="F9" s="26" t="s">
        <v>19</v>
      </c>
      <c r="G9" s="27"/>
      <c r="H9" s="28"/>
      <c r="J9" s="46" t="s">
        <v>98</v>
      </c>
      <c r="K9" s="47"/>
      <c r="L9" s="47"/>
      <c r="M9" s="47"/>
      <c r="N9" s="43" t="str">
        <f>Paths!N7</f>
        <v>C:/Users/gharmo/PycharmProjects/GPMpyPipeline</v>
      </c>
      <c r="O9" s="44"/>
      <c r="P9" s="44"/>
      <c r="Q9" s="44"/>
      <c r="R9" s="44"/>
      <c r="S9" s="44"/>
      <c r="T9" s="44"/>
      <c r="U9" s="45"/>
    </row>
    <row r="10" spans="2:21" ht="15.75" thickBot="1" x14ac:dyDescent="0.3">
      <c r="J10" s="46" t="s">
        <v>99</v>
      </c>
      <c r="K10" s="47"/>
      <c r="L10" s="47"/>
      <c r="M10" s="47"/>
      <c r="N10" s="29" t="str">
        <f>"H:\Reporting\Data Collection\Production\"&amp;dc_cell&amp;"\"&amp;dc_cell&amp;".csv"</f>
        <v>H:\Reporting\Data Collection\Production\2020.Q4\2020.Q4.csv</v>
      </c>
      <c r="O10" s="30"/>
      <c r="P10" s="30"/>
      <c r="Q10" s="30"/>
      <c r="R10" s="30"/>
      <c r="S10" s="30"/>
      <c r="T10" s="30"/>
      <c r="U10" s="31"/>
    </row>
    <row r="11" spans="2:21" ht="15.75" thickBot="1" x14ac:dyDescent="0.3">
      <c r="B11" s="17" t="s">
        <v>6</v>
      </c>
      <c r="C11" s="18"/>
      <c r="D11" s="18"/>
      <c r="E11" s="19"/>
      <c r="F11" s="26" t="s">
        <v>5</v>
      </c>
      <c r="G11" s="27"/>
      <c r="H11" s="28"/>
      <c r="J11" s="46" t="s">
        <v>100</v>
      </c>
      <c r="K11" s="47"/>
      <c r="L11" s="47"/>
      <c r="M11" s="47"/>
      <c r="N11" s="29" t="str">
        <f>"H:\Reporting\Data Collection\Production\"&amp;dc_cell&amp;"\"&amp;dc_cell&amp;".localcur.csv"</f>
        <v>H:\Reporting\Data Collection\Production\2020.Q4\2020.Q4.localcur.csv</v>
      </c>
      <c r="O11" s="30"/>
      <c r="P11" s="30"/>
      <c r="Q11" s="30"/>
      <c r="R11" s="30"/>
      <c r="S11" s="30"/>
      <c r="T11" s="30"/>
      <c r="U11" s="31"/>
    </row>
    <row r="12" spans="2:21" ht="15.75" thickBot="1" x14ac:dyDescent="0.3">
      <c r="B12" s="1"/>
      <c r="C12" s="1"/>
      <c r="D12" s="1"/>
      <c r="E12" s="1"/>
      <c r="J12" s="46" t="s">
        <v>136</v>
      </c>
      <c r="K12" s="47"/>
      <c r="L12" s="47"/>
      <c r="M12" s="47"/>
      <c r="N12" s="29" t="str">
        <f>"H:\Reporting\Data Collection\Production\"&amp;dc_cell&amp;"\"&amp;dc_cell&amp;".euroconv.csv"</f>
        <v>H:\Reporting\Data Collection\Production\2020.Q4\2020.Q4.euroconv.csv</v>
      </c>
      <c r="O12" s="30"/>
      <c r="P12" s="30"/>
      <c r="Q12" s="30"/>
      <c r="R12" s="30"/>
      <c r="S12" s="30"/>
      <c r="T12" s="30"/>
      <c r="U12" s="31"/>
    </row>
    <row r="13" spans="2:21" ht="15.75" thickBot="1" x14ac:dyDescent="0.3">
      <c r="B13" s="17" t="s">
        <v>7</v>
      </c>
      <c r="C13" s="18"/>
      <c r="D13" s="18"/>
      <c r="E13" s="19"/>
      <c r="F13" s="26" t="s">
        <v>9</v>
      </c>
      <c r="G13" s="27"/>
      <c r="H13" s="28"/>
      <c r="J13" s="46" t="s">
        <v>101</v>
      </c>
      <c r="K13" s="47"/>
      <c r="L13" s="47"/>
      <c r="M13" s="47"/>
      <c r="N13" s="29" t="str">
        <f>"H:\Reporting\Data Collection\Summaries\"&amp;dc_cell</f>
        <v>H:\Reporting\Data Collection\Summaries\2020.Q4</v>
      </c>
      <c r="O13" s="30"/>
      <c r="P13" s="30"/>
      <c r="Q13" s="30"/>
      <c r="R13" s="30"/>
      <c r="S13" s="30"/>
      <c r="T13" s="30"/>
      <c r="U13" s="31"/>
    </row>
    <row r="14" spans="2:21" ht="15.75" thickBot="1" x14ac:dyDescent="0.3">
      <c r="J14" s="48" t="s">
        <v>102</v>
      </c>
      <c r="K14" s="49"/>
      <c r="L14" s="49"/>
      <c r="M14" s="49"/>
      <c r="N14" s="32" t="str">
        <f>"H:\Reporting\Data Collection\Production\"&amp;dc_cell&amp;"\Current_Sites"</f>
        <v>H:\Reporting\Data Collection\Production\2020.Q4\Current_Sites</v>
      </c>
      <c r="O14" s="33"/>
      <c r="P14" s="33"/>
      <c r="Q14" s="33"/>
      <c r="R14" s="33"/>
      <c r="S14" s="33"/>
      <c r="T14" s="33"/>
      <c r="U14" s="34"/>
    </row>
    <row r="15" spans="2:21" ht="15.75" thickBot="1" x14ac:dyDescent="0.3">
      <c r="B15" s="17" t="s">
        <v>192</v>
      </c>
      <c r="C15" s="18"/>
      <c r="D15" s="18"/>
      <c r="E15" s="19"/>
      <c r="F15" s="23" t="s">
        <v>193</v>
      </c>
      <c r="G15" s="24"/>
      <c r="H15" s="25"/>
      <c r="N15" s="8"/>
      <c r="O15" s="8"/>
      <c r="P15" s="8"/>
      <c r="Q15" s="8"/>
      <c r="R15" s="8"/>
      <c r="S15" s="8"/>
      <c r="T15" s="8"/>
      <c r="U15" s="8"/>
    </row>
    <row r="16" spans="2:21" x14ac:dyDescent="0.25">
      <c r="N16" s="8"/>
      <c r="O16" s="8"/>
      <c r="P16" s="8"/>
      <c r="Q16" s="8"/>
      <c r="R16" s="8"/>
    </row>
    <row r="17" spans="14:18" x14ac:dyDescent="0.25">
      <c r="N17" s="8"/>
      <c r="O17" s="8"/>
      <c r="P17" s="8"/>
      <c r="Q17" s="8"/>
      <c r="R17" s="8"/>
    </row>
    <row r="18" spans="14:18" x14ac:dyDescent="0.25">
      <c r="N18" s="8"/>
      <c r="O18" s="8"/>
      <c r="P18" s="8"/>
      <c r="Q18" s="8"/>
      <c r="R18" s="8"/>
    </row>
    <row r="19" spans="14:18" x14ac:dyDescent="0.25">
      <c r="N19" s="8"/>
      <c r="O19" s="8"/>
      <c r="P19" s="8"/>
      <c r="Q19" s="8"/>
      <c r="R19" s="8"/>
    </row>
    <row r="20" spans="14:18" x14ac:dyDescent="0.25">
      <c r="N20" s="8"/>
      <c r="O20" s="8"/>
      <c r="P20" s="8"/>
      <c r="Q20" s="8"/>
      <c r="R20" s="8"/>
    </row>
    <row r="21" spans="14:18" x14ac:dyDescent="0.25">
      <c r="N21" s="8"/>
      <c r="O21" s="8"/>
      <c r="P21" s="8"/>
      <c r="Q21" s="8"/>
      <c r="R21" s="8"/>
    </row>
    <row r="22" spans="14:18" x14ac:dyDescent="0.25">
      <c r="N22" s="8"/>
      <c r="O22" s="8"/>
      <c r="P22" s="8"/>
      <c r="Q22" s="8"/>
      <c r="R22" s="8"/>
    </row>
  </sheetData>
  <mergeCells count="33">
    <mergeCell ref="J8:M8"/>
    <mergeCell ref="B2:H3"/>
    <mergeCell ref="B9:E9"/>
    <mergeCell ref="F9:H9"/>
    <mergeCell ref="B5:H5"/>
    <mergeCell ref="N14:U14"/>
    <mergeCell ref="J2:U3"/>
    <mergeCell ref="J5:M5"/>
    <mergeCell ref="N5:U5"/>
    <mergeCell ref="N6:U6"/>
    <mergeCell ref="N8:U8"/>
    <mergeCell ref="N7:U7"/>
    <mergeCell ref="N9:U9"/>
    <mergeCell ref="J9:M9"/>
    <mergeCell ref="J10:M10"/>
    <mergeCell ref="J11:M11"/>
    <mergeCell ref="J12:M12"/>
    <mergeCell ref="J13:M13"/>
    <mergeCell ref="J14:M14"/>
    <mergeCell ref="J6:M6"/>
    <mergeCell ref="J7:M7"/>
    <mergeCell ref="N10:U10"/>
    <mergeCell ref="N11:U11"/>
    <mergeCell ref="N12:U12"/>
    <mergeCell ref="N13:U13"/>
    <mergeCell ref="F11:H11"/>
    <mergeCell ref="B7:E7"/>
    <mergeCell ref="F7:H7"/>
    <mergeCell ref="F15:H15"/>
    <mergeCell ref="B15:E15"/>
    <mergeCell ref="B13:E13"/>
    <mergeCell ref="F13:H13"/>
    <mergeCell ref="B11:E11"/>
  </mergeCell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'Selection Lists'!$F$4:$F$6</xm:f>
          </x14:formula1>
          <xm:sqref>F13</xm:sqref>
        </x14:dataValidation>
        <x14:dataValidation type="list" allowBlank="1" showInputMessage="1" showErrorMessage="1">
          <x14:formula1>
            <xm:f>'Selection Lists'!$B$4:$B$8</xm:f>
          </x14:formula1>
          <xm:sqref>F9:H9</xm:sqref>
        </x14:dataValidation>
        <x14:dataValidation type="list" allowBlank="1" showInputMessage="1" showErrorMessage="1">
          <x14:formula1>
            <xm:f>'Selection Lists'!$D$4:$D$8</xm:f>
          </x14:formula1>
          <xm:sqref>F11</xm:sqref>
        </x14:dataValidation>
        <x14:dataValidation type="list" allowBlank="1" showInputMessage="1" showErrorMessage="1">
          <x14:formula1>
            <xm:f>'Selection Lists'!$J$4:$J$5</xm:f>
          </x14:formula1>
          <xm:sqref>F7:H7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7030A0"/>
  </sheetPr>
  <dimension ref="A1:C35"/>
  <sheetViews>
    <sheetView showGridLines="0" workbookViewId="0">
      <selection activeCell="F38" sqref="F38"/>
    </sheetView>
  </sheetViews>
  <sheetFormatPr defaultRowHeight="15" x14ac:dyDescent="0.25"/>
  <cols>
    <col min="1" max="1" width="9.28515625" bestFit="1" customWidth="1"/>
    <col min="2" max="2" width="17.85546875" bestFit="1" customWidth="1"/>
    <col min="3" max="3" width="24.42578125" bestFit="1" customWidth="1"/>
  </cols>
  <sheetData>
    <row r="1" spans="1:3" x14ac:dyDescent="0.25">
      <c r="A1" s="2" t="s">
        <v>23</v>
      </c>
      <c r="B1" s="2" t="s">
        <v>24</v>
      </c>
      <c r="C1" s="2" t="s">
        <v>91</v>
      </c>
    </row>
    <row r="2" spans="1:3" x14ac:dyDescent="0.25">
      <c r="A2" s="9" t="s">
        <v>85</v>
      </c>
      <c r="B2" s="9" t="s">
        <v>86</v>
      </c>
      <c r="C2" s="10" t="s">
        <v>22</v>
      </c>
    </row>
    <row r="3" spans="1:3" x14ac:dyDescent="0.25">
      <c r="A3" s="9" t="s">
        <v>25</v>
      </c>
      <c r="B3" s="9" t="s">
        <v>26</v>
      </c>
      <c r="C3" s="10" t="s">
        <v>22</v>
      </c>
    </row>
    <row r="4" spans="1:3" x14ac:dyDescent="0.25">
      <c r="A4" s="9" t="s">
        <v>53</v>
      </c>
      <c r="B4" s="9" t="s">
        <v>54</v>
      </c>
      <c r="C4" s="10" t="s">
        <v>22</v>
      </c>
    </row>
    <row r="5" spans="1:3" x14ac:dyDescent="0.25">
      <c r="A5" s="9" t="s">
        <v>71</v>
      </c>
      <c r="B5" s="9" t="s">
        <v>72</v>
      </c>
      <c r="C5" s="10" t="s">
        <v>22</v>
      </c>
    </row>
    <row r="6" spans="1:3" x14ac:dyDescent="0.25">
      <c r="A6" s="9" t="s">
        <v>73</v>
      </c>
      <c r="B6" s="9" t="s">
        <v>74</v>
      </c>
      <c r="C6" s="10" t="s">
        <v>22</v>
      </c>
    </row>
    <row r="7" spans="1:3" x14ac:dyDescent="0.25">
      <c r="A7" s="9" t="s">
        <v>45</v>
      </c>
      <c r="B7" s="9" t="s">
        <v>46</v>
      </c>
      <c r="C7" s="10" t="s">
        <v>22</v>
      </c>
    </row>
    <row r="8" spans="1:3" x14ac:dyDescent="0.25">
      <c r="A8" s="9" t="s">
        <v>29</v>
      </c>
      <c r="B8" s="9" t="s">
        <v>30</v>
      </c>
      <c r="C8" s="10" t="s">
        <v>22</v>
      </c>
    </row>
    <row r="9" spans="1:3" x14ac:dyDescent="0.25">
      <c r="A9" s="9" t="s">
        <v>55</v>
      </c>
      <c r="B9" s="9" t="s">
        <v>56</v>
      </c>
      <c r="C9" s="10" t="s">
        <v>22</v>
      </c>
    </row>
    <row r="10" spans="1:3" x14ac:dyDescent="0.25">
      <c r="A10" s="9" t="s">
        <v>87</v>
      </c>
      <c r="B10" s="9" t="s">
        <v>88</v>
      </c>
      <c r="C10" s="10" t="s">
        <v>22</v>
      </c>
    </row>
    <row r="11" spans="1:3" x14ac:dyDescent="0.25">
      <c r="A11" s="9" t="s">
        <v>63</v>
      </c>
      <c r="B11" s="9" t="s">
        <v>64</v>
      </c>
      <c r="C11" s="10" t="s">
        <v>22</v>
      </c>
    </row>
    <row r="12" spans="1:3" x14ac:dyDescent="0.25">
      <c r="A12" s="9" t="s">
        <v>47</v>
      </c>
      <c r="B12" s="9" t="s">
        <v>48</v>
      </c>
      <c r="C12" s="10" t="s">
        <v>21</v>
      </c>
    </row>
    <row r="13" spans="1:3" x14ac:dyDescent="0.25">
      <c r="A13" s="9" t="s">
        <v>59</v>
      </c>
      <c r="B13" s="9" t="s">
        <v>60</v>
      </c>
      <c r="C13" s="10" t="s">
        <v>22</v>
      </c>
    </row>
    <row r="14" spans="1:3" x14ac:dyDescent="0.25">
      <c r="A14" s="9" t="s">
        <v>31</v>
      </c>
      <c r="B14" s="9" t="s">
        <v>32</v>
      </c>
      <c r="C14" s="10" t="s">
        <v>22</v>
      </c>
    </row>
    <row r="15" spans="1:3" x14ac:dyDescent="0.25">
      <c r="A15" s="9" t="s">
        <v>39</v>
      </c>
      <c r="B15" s="9" t="s">
        <v>40</v>
      </c>
      <c r="C15" s="10" t="s">
        <v>22</v>
      </c>
    </row>
    <row r="16" spans="1:3" x14ac:dyDescent="0.25">
      <c r="A16" s="9" t="s">
        <v>81</v>
      </c>
      <c r="B16" s="9" t="s">
        <v>82</v>
      </c>
      <c r="C16" s="10" t="s">
        <v>22</v>
      </c>
    </row>
    <row r="17" spans="1:3" x14ac:dyDescent="0.25">
      <c r="A17" s="9" t="s">
        <v>67</v>
      </c>
      <c r="B17" s="9" t="s">
        <v>68</v>
      </c>
      <c r="C17" s="10" t="s">
        <v>22</v>
      </c>
    </row>
    <row r="18" spans="1:3" x14ac:dyDescent="0.25">
      <c r="A18" s="9" t="s">
        <v>37</v>
      </c>
      <c r="B18" s="9" t="s">
        <v>38</v>
      </c>
      <c r="C18" s="10" t="s">
        <v>22</v>
      </c>
    </row>
    <row r="19" spans="1:3" x14ac:dyDescent="0.25">
      <c r="A19" s="9" t="s">
        <v>41</v>
      </c>
      <c r="B19" s="9" t="s">
        <v>42</v>
      </c>
      <c r="C19" s="10" t="s">
        <v>22</v>
      </c>
    </row>
    <row r="20" spans="1:3" x14ac:dyDescent="0.25">
      <c r="A20" s="9" t="s">
        <v>79</v>
      </c>
      <c r="B20" s="9" t="s">
        <v>80</v>
      </c>
      <c r="C20" s="10" t="s">
        <v>22</v>
      </c>
    </row>
    <row r="21" spans="1:3" x14ac:dyDescent="0.25">
      <c r="A21" s="9" t="s">
        <v>75</v>
      </c>
      <c r="B21" s="9" t="s">
        <v>76</v>
      </c>
      <c r="C21" s="10" t="s">
        <v>22</v>
      </c>
    </row>
    <row r="22" spans="1:3" x14ac:dyDescent="0.25">
      <c r="A22" s="9" t="s">
        <v>187</v>
      </c>
      <c r="B22" s="9" t="s">
        <v>188</v>
      </c>
      <c r="C22" s="10" t="s">
        <v>22</v>
      </c>
    </row>
    <row r="23" spans="1:3" x14ac:dyDescent="0.25">
      <c r="A23" s="9" t="s">
        <v>69</v>
      </c>
      <c r="B23" s="9" t="s">
        <v>70</v>
      </c>
      <c r="C23" s="10" t="s">
        <v>22</v>
      </c>
    </row>
    <row r="24" spans="1:3" x14ac:dyDescent="0.25">
      <c r="A24" s="9" t="s">
        <v>27</v>
      </c>
      <c r="B24" s="9" t="s">
        <v>28</v>
      </c>
      <c r="C24" s="10" t="s">
        <v>22</v>
      </c>
    </row>
    <row r="25" spans="1:3" x14ac:dyDescent="0.25">
      <c r="A25" s="9" t="s">
        <v>51</v>
      </c>
      <c r="B25" s="9" t="s">
        <v>52</v>
      </c>
      <c r="C25" s="10" t="s">
        <v>22</v>
      </c>
    </row>
    <row r="26" spans="1:3" x14ac:dyDescent="0.25">
      <c r="A26" s="9" t="s">
        <v>83</v>
      </c>
      <c r="B26" s="9" t="s">
        <v>84</v>
      </c>
      <c r="C26" s="10" t="s">
        <v>22</v>
      </c>
    </row>
    <row r="27" spans="1:3" x14ac:dyDescent="0.25">
      <c r="A27" s="9" t="s">
        <v>57</v>
      </c>
      <c r="B27" s="9" t="s">
        <v>58</v>
      </c>
      <c r="C27" s="10" t="s">
        <v>22</v>
      </c>
    </row>
    <row r="28" spans="1:3" x14ac:dyDescent="0.25">
      <c r="A28" s="9" t="s">
        <v>89</v>
      </c>
      <c r="B28" s="9" t="s">
        <v>90</v>
      </c>
      <c r="C28" s="10" t="s">
        <v>22</v>
      </c>
    </row>
    <row r="29" spans="1:3" x14ac:dyDescent="0.25">
      <c r="A29" s="9" t="s">
        <v>35</v>
      </c>
      <c r="B29" s="9" t="s">
        <v>36</v>
      </c>
      <c r="C29" s="10" t="s">
        <v>22</v>
      </c>
    </row>
    <row r="30" spans="1:3" x14ac:dyDescent="0.25">
      <c r="A30" s="9" t="s">
        <v>77</v>
      </c>
      <c r="B30" s="9" t="s">
        <v>78</v>
      </c>
      <c r="C30" s="10" t="s">
        <v>22</v>
      </c>
    </row>
    <row r="31" spans="1:3" x14ac:dyDescent="0.25">
      <c r="A31" s="9" t="s">
        <v>49</v>
      </c>
      <c r="B31" s="9" t="s">
        <v>50</v>
      </c>
      <c r="C31" s="10" t="s">
        <v>22</v>
      </c>
    </row>
    <row r="32" spans="1:3" x14ac:dyDescent="0.25">
      <c r="A32" s="9" t="s">
        <v>33</v>
      </c>
      <c r="B32" s="9" t="s">
        <v>34</v>
      </c>
      <c r="C32" s="10" t="s">
        <v>22</v>
      </c>
    </row>
    <row r="33" spans="1:3" x14ac:dyDescent="0.25">
      <c r="A33" s="9" t="s">
        <v>61</v>
      </c>
      <c r="B33" s="9" t="s">
        <v>62</v>
      </c>
      <c r="C33" s="10" t="s">
        <v>22</v>
      </c>
    </row>
    <row r="34" spans="1:3" x14ac:dyDescent="0.25">
      <c r="A34" s="9" t="s">
        <v>65</v>
      </c>
      <c r="B34" s="9" t="s">
        <v>66</v>
      </c>
      <c r="C34" s="10" t="s">
        <v>22</v>
      </c>
    </row>
    <row r="35" spans="1:3" x14ac:dyDescent="0.25">
      <c r="A35" s="9" t="s">
        <v>43</v>
      </c>
      <c r="B35" s="9" t="s">
        <v>44</v>
      </c>
      <c r="C35" s="10" t="s">
        <v>22</v>
      </c>
    </row>
  </sheetData>
  <sortState ref="A2:C34">
    <sortCondition ref="B2:B34"/>
  </sortState>
  <conditionalFormatting sqref="C2:C35">
    <cfRule type="cellIs" dxfId="0" priority="1" operator="equal">
      <formula>"Knit"</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'Selection Lists'!$H$4:$H$5</xm:f>
          </x14:formula1>
          <xm:sqref>C2:C35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A1:F19"/>
  <sheetViews>
    <sheetView workbookViewId="0">
      <selection activeCell="F7" sqref="F7"/>
    </sheetView>
  </sheetViews>
  <sheetFormatPr defaultRowHeight="15" x14ac:dyDescent="0.25"/>
  <cols>
    <col min="1" max="1" width="39.85546875" customWidth="1"/>
    <col min="2" max="2" width="47" customWidth="1"/>
    <col min="3" max="3" width="38.42578125" customWidth="1"/>
    <col min="4" max="4" width="38.7109375" customWidth="1"/>
    <col min="5" max="5" width="40.5703125" customWidth="1"/>
    <col min="6" max="6" width="33" customWidth="1"/>
  </cols>
  <sheetData>
    <row r="1" spans="1:6" x14ac:dyDescent="0.25">
      <c r="A1" t="s">
        <v>156</v>
      </c>
      <c r="B1" t="s">
        <v>154</v>
      </c>
      <c r="C1" t="s">
        <v>139</v>
      </c>
      <c r="D1" t="s">
        <v>145</v>
      </c>
      <c r="E1" t="s">
        <v>146</v>
      </c>
      <c r="F1" t="s">
        <v>186</v>
      </c>
    </row>
    <row r="2" spans="1:6" x14ac:dyDescent="0.25">
      <c r="A2">
        <v>1</v>
      </c>
      <c r="B2" t="s">
        <v>155</v>
      </c>
      <c r="C2" t="s">
        <v>140</v>
      </c>
    </row>
    <row r="3" spans="1:6" x14ac:dyDescent="0.25">
      <c r="A3">
        <v>2</v>
      </c>
      <c r="B3" t="s">
        <v>155</v>
      </c>
      <c r="C3" t="s">
        <v>141</v>
      </c>
    </row>
    <row r="4" spans="1:6" x14ac:dyDescent="0.25">
      <c r="A4">
        <v>3</v>
      </c>
      <c r="B4" t="s">
        <v>155</v>
      </c>
      <c r="C4" t="s">
        <v>142</v>
      </c>
    </row>
    <row r="5" spans="1:6" x14ac:dyDescent="0.25">
      <c r="A5">
        <v>4</v>
      </c>
      <c r="B5" t="s">
        <v>155</v>
      </c>
      <c r="C5" t="s">
        <v>169</v>
      </c>
    </row>
    <row r="6" spans="1:6" x14ac:dyDescent="0.25">
      <c r="A6">
        <v>5</v>
      </c>
      <c r="B6" t="s">
        <v>155</v>
      </c>
      <c r="C6" t="s">
        <v>147</v>
      </c>
      <c r="D6" t="s">
        <v>143</v>
      </c>
    </row>
    <row r="7" spans="1:6" x14ac:dyDescent="0.25">
      <c r="A7">
        <v>6</v>
      </c>
      <c r="B7" t="s">
        <v>155</v>
      </c>
      <c r="C7" t="s">
        <v>147</v>
      </c>
      <c r="D7" t="s">
        <v>143</v>
      </c>
      <c r="E7" t="s">
        <v>144</v>
      </c>
    </row>
    <row r="8" spans="1:6" x14ac:dyDescent="0.25">
      <c r="A8">
        <v>7</v>
      </c>
      <c r="B8" t="s">
        <v>155</v>
      </c>
      <c r="C8" t="s">
        <v>147</v>
      </c>
      <c r="D8" t="s">
        <v>143</v>
      </c>
      <c r="E8" t="s">
        <v>151</v>
      </c>
    </row>
    <row r="9" spans="1:6" x14ac:dyDescent="0.25">
      <c r="A9">
        <v>8</v>
      </c>
      <c r="B9" t="s">
        <v>157</v>
      </c>
      <c r="C9" t="s">
        <v>147</v>
      </c>
      <c r="D9" t="s">
        <v>143</v>
      </c>
      <c r="E9" s="13" t="s">
        <v>161</v>
      </c>
      <c r="F9" t="s">
        <v>148</v>
      </c>
    </row>
    <row r="10" spans="1:6" x14ac:dyDescent="0.25">
      <c r="A10">
        <v>9</v>
      </c>
      <c r="B10" t="s">
        <v>166</v>
      </c>
      <c r="C10" t="s">
        <v>147</v>
      </c>
      <c r="D10" t="s">
        <v>143</v>
      </c>
      <c r="E10" s="13" t="s">
        <v>161</v>
      </c>
      <c r="F10" t="s">
        <v>148</v>
      </c>
    </row>
    <row r="11" spans="1:6" x14ac:dyDescent="0.25">
      <c r="A11">
        <v>10</v>
      </c>
      <c r="B11" t="s">
        <v>167</v>
      </c>
      <c r="C11" t="s">
        <v>147</v>
      </c>
      <c r="D11" t="s">
        <v>143</v>
      </c>
      <c r="E11" s="13" t="s">
        <v>161</v>
      </c>
      <c r="F11" t="s">
        <v>149</v>
      </c>
    </row>
    <row r="12" spans="1:6" x14ac:dyDescent="0.25">
      <c r="A12">
        <v>11</v>
      </c>
      <c r="B12" t="s">
        <v>168</v>
      </c>
      <c r="C12" t="s">
        <v>147</v>
      </c>
      <c r="D12" t="s">
        <v>143</v>
      </c>
      <c r="E12" s="13" t="s">
        <v>161</v>
      </c>
      <c r="F12" t="s">
        <v>149</v>
      </c>
    </row>
    <row r="13" spans="1:6" x14ac:dyDescent="0.25">
      <c r="A13">
        <v>12</v>
      </c>
      <c r="B13" t="s">
        <v>158</v>
      </c>
      <c r="C13" t="s">
        <v>147</v>
      </c>
      <c r="D13" t="s">
        <v>143</v>
      </c>
      <c r="E13" s="13" t="s">
        <v>161</v>
      </c>
      <c r="F13" t="s">
        <v>150</v>
      </c>
    </row>
    <row r="14" spans="1:6" x14ac:dyDescent="0.25">
      <c r="A14">
        <v>13</v>
      </c>
      <c r="B14" t="s">
        <v>155</v>
      </c>
      <c r="C14" t="s">
        <v>147</v>
      </c>
      <c r="D14" t="s">
        <v>143</v>
      </c>
      <c r="E14" s="13" t="s">
        <v>162</v>
      </c>
    </row>
    <row r="15" spans="1:6" x14ac:dyDescent="0.25">
      <c r="A15">
        <v>14</v>
      </c>
      <c r="B15" t="s">
        <v>155</v>
      </c>
      <c r="C15" t="s">
        <v>147</v>
      </c>
      <c r="D15" t="s">
        <v>143</v>
      </c>
      <c r="E15" t="s">
        <v>152</v>
      </c>
    </row>
    <row r="16" spans="1:6" x14ac:dyDescent="0.25">
      <c r="A16">
        <v>15</v>
      </c>
      <c r="B16" t="s">
        <v>159</v>
      </c>
      <c r="C16" t="s">
        <v>147</v>
      </c>
      <c r="D16" t="s">
        <v>143</v>
      </c>
      <c r="E16" t="s">
        <v>153</v>
      </c>
    </row>
    <row r="17" spans="1:5" x14ac:dyDescent="0.25">
      <c r="A17">
        <v>16</v>
      </c>
      <c r="B17" t="s">
        <v>163</v>
      </c>
      <c r="C17" t="s">
        <v>147</v>
      </c>
      <c r="D17" t="s">
        <v>143</v>
      </c>
      <c r="E17" s="13" t="s">
        <v>160</v>
      </c>
    </row>
    <row r="18" spans="1:5" x14ac:dyDescent="0.25">
      <c r="A18">
        <v>17</v>
      </c>
      <c r="B18" t="s">
        <v>155</v>
      </c>
      <c r="C18" t="s">
        <v>147</v>
      </c>
      <c r="D18" t="s">
        <v>164</v>
      </c>
    </row>
    <row r="19" spans="1:5" x14ac:dyDescent="0.25">
      <c r="A19">
        <v>18</v>
      </c>
      <c r="B19" t="s">
        <v>155</v>
      </c>
      <c r="C19" t="s">
        <v>165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
  <sheetViews>
    <sheetView zoomScale="115" zoomScaleNormal="115" workbookViewId="0">
      <selection activeCell="V93" sqref="V93"/>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2" tint="-9.9978637043366805E-2"/>
  </sheetPr>
  <dimension ref="B2:Y8"/>
  <sheetViews>
    <sheetView topLeftCell="G1" workbookViewId="0">
      <selection activeCell="J4" sqref="J4:J5"/>
    </sheetView>
  </sheetViews>
  <sheetFormatPr defaultRowHeight="15" x14ac:dyDescent="0.25"/>
  <cols>
    <col min="2" max="2" width="28.85546875" customWidth="1"/>
    <col min="4" max="4" width="22.42578125" customWidth="1"/>
    <col min="6" max="6" width="49.140625" customWidth="1"/>
    <col min="8" max="8" width="27.7109375" bestFit="1" customWidth="1"/>
    <col min="10" max="10" width="41.28515625" customWidth="1"/>
  </cols>
  <sheetData>
    <row r="2" spans="2:25" ht="15.75" thickBot="1" x14ac:dyDescent="0.3"/>
    <row r="3" spans="2:25" ht="15.75" thickBot="1" x14ac:dyDescent="0.3">
      <c r="B3" s="3" t="s">
        <v>11</v>
      </c>
      <c r="D3" s="7" t="s">
        <v>6</v>
      </c>
      <c r="F3" s="7" t="s">
        <v>7</v>
      </c>
      <c r="H3" s="7" t="s">
        <v>92</v>
      </c>
      <c r="J3" s="14" t="s">
        <v>189</v>
      </c>
      <c r="Y3" t="s">
        <v>103</v>
      </c>
    </row>
    <row r="4" spans="2:25" ht="15.75" thickBot="1" x14ac:dyDescent="0.3">
      <c r="B4" s="4" t="s">
        <v>19</v>
      </c>
      <c r="D4" s="4" t="s">
        <v>137</v>
      </c>
      <c r="F4" s="4" t="s">
        <v>10</v>
      </c>
      <c r="H4" s="4" t="s">
        <v>21</v>
      </c>
      <c r="J4" s="4" t="s">
        <v>191</v>
      </c>
      <c r="Y4" t="str">
        <f>Paths!C2</f>
        <v>C:\Program Files\R\R-3.6.3\bin\R.exe</v>
      </c>
    </row>
    <row r="5" spans="2:25" ht="15.75" thickBot="1" x14ac:dyDescent="0.3">
      <c r="B5" s="5" t="s">
        <v>12</v>
      </c>
      <c r="D5" s="4" t="s">
        <v>2</v>
      </c>
      <c r="F5" s="6" t="s">
        <v>9</v>
      </c>
      <c r="H5" s="5" t="s">
        <v>22</v>
      </c>
      <c r="J5" s="5" t="s">
        <v>190</v>
      </c>
      <c r="Y5" t="str">
        <f>Paths!C3</f>
        <v>C:/Users/gharmo/Desktop/R_Local_Mirror/GPMdashboard_sites</v>
      </c>
    </row>
    <row r="6" spans="2:25" ht="15.75" thickBot="1" x14ac:dyDescent="0.3">
      <c r="D6" s="6" t="s">
        <v>3</v>
      </c>
      <c r="F6" s="5" t="s">
        <v>8</v>
      </c>
    </row>
    <row r="7" spans="2:25" x14ac:dyDescent="0.25">
      <c r="D7" s="6" t="s">
        <v>4</v>
      </c>
    </row>
    <row r="8" spans="2:25" ht="15.75" thickBot="1" x14ac:dyDescent="0.3">
      <c r="D8" s="5"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A1:N7"/>
  <sheetViews>
    <sheetView workbookViewId="0">
      <selection activeCell="B38" sqref="B38"/>
    </sheetView>
  </sheetViews>
  <sheetFormatPr defaultRowHeight="15" x14ac:dyDescent="0.25"/>
  <cols>
    <col min="1" max="1" width="35.28515625" customWidth="1"/>
    <col min="2" max="2" width="20.7109375" customWidth="1"/>
  </cols>
  <sheetData>
    <row r="1" spans="1:14" x14ac:dyDescent="0.25">
      <c r="A1" t="s">
        <v>17</v>
      </c>
      <c r="B1" t="s">
        <v>16</v>
      </c>
      <c r="C1" t="s">
        <v>18</v>
      </c>
    </row>
    <row r="2" spans="1:14" x14ac:dyDescent="0.25">
      <c r="A2" t="s">
        <v>19</v>
      </c>
      <c r="B2" t="s">
        <v>13</v>
      </c>
      <c r="C2" t="s">
        <v>20</v>
      </c>
    </row>
    <row r="3" spans="1:14" x14ac:dyDescent="0.25">
      <c r="A3" t="s">
        <v>19</v>
      </c>
      <c r="B3" t="s">
        <v>14</v>
      </c>
      <c r="C3" t="s">
        <v>183</v>
      </c>
    </row>
    <row r="4" spans="1:14" x14ac:dyDescent="0.25">
      <c r="A4" t="s">
        <v>19</v>
      </c>
      <c r="B4" t="s">
        <v>15</v>
      </c>
      <c r="C4" t="s">
        <v>184</v>
      </c>
      <c r="N4" t="s">
        <v>138</v>
      </c>
    </row>
    <row r="5" spans="1:14" x14ac:dyDescent="0.25">
      <c r="A5" t="s">
        <v>12</v>
      </c>
      <c r="B5" t="s">
        <v>13</v>
      </c>
      <c r="N5" t="str">
        <f t="array" ref="N5">VLOOKUP(path_cell&amp;"|"&amp;"r.exe",CHOOSE({1,2},$A$2:$A$19&amp;"|"&amp;$B$2:$B$19,$C$2:$C$19),2,0)</f>
        <v>C:\Program Files\R\R-3.6.3\bin\R.exe</v>
      </c>
    </row>
    <row r="6" spans="1:14" x14ac:dyDescent="0.25">
      <c r="A6" t="s">
        <v>12</v>
      </c>
      <c r="B6" t="s">
        <v>14</v>
      </c>
      <c r="N6" t="str">
        <f t="array" ref="N6">VLOOKUP(path_cell&amp;"|"&amp;"runner script",CHOOSE({1,2},$A$2:$A$19&amp;"|"&amp;$B$2:$B$19,$C$2:$C$19),2,0)</f>
        <v>C:/Users/gharmo/Desktop/R_Local_Mirror/GPMdashboard_sites</v>
      </c>
    </row>
    <row r="7" spans="1:14" x14ac:dyDescent="0.25">
      <c r="A7" t="s">
        <v>12</v>
      </c>
      <c r="B7" t="s">
        <v>15</v>
      </c>
      <c r="C7" t="s">
        <v>185</v>
      </c>
      <c r="N7" t="str">
        <f t="array" ref="N7">VLOOKUP(path_cell&amp;"|"&amp;"python repo",CHOOSE({1,2},$A$2:$A$19&amp;"|"&amp;$B$2:$B$19,$C$2:$C$19),2,0)</f>
        <v>C:/Users/gharmo/PycharmProjects/GPMpyPipeline</v>
      </c>
    </row>
  </sheetData>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Notes</vt:lpstr>
      <vt:lpstr>Pipeline Runner</vt:lpstr>
      <vt:lpstr>Dashboard List</vt:lpstr>
      <vt:lpstr>Process Step Listing</vt:lpstr>
      <vt:lpstr>Data Flow Diagram -needs update</vt:lpstr>
      <vt:lpstr>Selection Lists</vt:lpstr>
      <vt:lpstr>Paths</vt:lpstr>
      <vt:lpstr>db_cell</vt:lpstr>
      <vt:lpstr>dc_cell</vt:lpstr>
      <vt:lpstr>dc_path</vt:lpstr>
      <vt:lpstr>path_cell</vt:lpstr>
      <vt:lpstr>pl_cell</vt:lpstr>
      <vt:lpstr>ppath</vt:lpstr>
      <vt:lpstr>RhomeDir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Gavin Harmon</dc:creator>
  <cp:lastModifiedBy>Gavin Harmon</cp:lastModifiedBy>
  <dcterms:created xsi:type="dcterms:W3CDTF">2021-02-09T20:11:27Z</dcterms:created>
  <dcterms:modified xsi:type="dcterms:W3CDTF">2021-04-19T17:45:59Z</dcterms:modified>
</cp:coreProperties>
</file>